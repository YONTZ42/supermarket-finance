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04) 人事・労務・採用\2)採用\"/>
    </mc:Choice>
  </mc:AlternateContent>
  <xr:revisionPtr revIDLastSave="0" documentId="13_ncr:1_{8F65A3DD-FB6A-4FDB-BB68-9D3FC0C95AFA}" xr6:coauthVersionLast="47" xr6:coauthVersionMax="47" xr10:uidLastSave="{00000000-0000-0000-0000-000000000000}"/>
  <bookViews>
    <workbookView xWindow="-51705" yWindow="-2085" windowWidth="26010" windowHeight="20985" xr2:uid="{00000000-000D-0000-FFFF-FFFF00000000}"/>
  </bookViews>
  <sheets>
    <sheet name="ダッシュボード" sheetId="7" r:id="rId1"/>
    <sheet name="Tokyo" sheetId="1" r:id="rId2"/>
    <sheet name="Osaka" sheetId="5" r:id="rId3"/>
    <sheet name="Nagoya" sheetId="6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5" l="1"/>
  <c r="M10" i="5"/>
  <c r="K10" i="5"/>
  <c r="I10" i="5"/>
  <c r="G10" i="5"/>
  <c r="E10" i="5"/>
  <c r="I8" i="7"/>
  <c r="G8" i="7"/>
  <c r="E8" i="7"/>
  <c r="H8" i="7"/>
  <c r="F8" i="7"/>
  <c r="D8" i="7"/>
  <c r="I7" i="7"/>
  <c r="G7" i="7"/>
  <c r="E7" i="7"/>
  <c r="H7" i="7"/>
  <c r="F7" i="7"/>
  <c r="D7" i="7"/>
  <c r="E4" i="7"/>
  <c r="E6" i="7" s="1"/>
  <c r="I11" i="7"/>
  <c r="G11" i="7"/>
  <c r="G12" i="7" s="1"/>
  <c r="E11" i="7"/>
  <c r="I10" i="7"/>
  <c r="G10" i="7"/>
  <c r="E10" i="7"/>
  <c r="H11" i="7"/>
  <c r="F11" i="7"/>
  <c r="D11" i="7"/>
  <c r="H10" i="7"/>
  <c r="F10" i="7"/>
  <c r="D10" i="7"/>
  <c r="D12" i="7" s="1"/>
  <c r="H12" i="7"/>
  <c r="F12" i="7"/>
  <c r="D10" i="6"/>
  <c r="E10" i="6"/>
  <c r="F10" i="6"/>
  <c r="G10" i="6"/>
  <c r="H10" i="6"/>
  <c r="I10" i="6"/>
  <c r="D20" i="6"/>
  <c r="E20" i="6"/>
  <c r="F20" i="6"/>
  <c r="G20" i="6"/>
  <c r="H20" i="6"/>
  <c r="I20" i="6"/>
  <c r="D22" i="6"/>
  <c r="E22" i="6"/>
  <c r="F22" i="6"/>
  <c r="G22" i="6"/>
  <c r="H22" i="6"/>
  <c r="I22" i="6"/>
  <c r="I6" i="7"/>
  <c r="H6" i="7"/>
  <c r="G6" i="7"/>
  <c r="F6" i="7"/>
  <c r="D6" i="7"/>
  <c r="I5" i="7"/>
  <c r="G5" i="7"/>
  <c r="E5" i="7"/>
  <c r="H5" i="7"/>
  <c r="F5" i="7"/>
  <c r="D5" i="7"/>
  <c r="I4" i="7"/>
  <c r="G4" i="7"/>
  <c r="H4" i="7"/>
  <c r="F4" i="7"/>
  <c r="D4" i="7"/>
  <c r="O20" i="5"/>
  <c r="N20" i="5"/>
  <c r="M20" i="5"/>
  <c r="L20" i="5"/>
  <c r="K20" i="5"/>
  <c r="J20" i="5"/>
  <c r="I20" i="5"/>
  <c r="H20" i="5"/>
  <c r="G20" i="5"/>
  <c r="F20" i="5"/>
  <c r="E20" i="5"/>
  <c r="D20" i="5"/>
  <c r="O18" i="5"/>
  <c r="N18" i="5"/>
  <c r="M18" i="5"/>
  <c r="L18" i="5"/>
  <c r="K18" i="5"/>
  <c r="J18" i="5"/>
  <c r="I18" i="5"/>
  <c r="H18" i="5"/>
  <c r="G18" i="5"/>
  <c r="F18" i="5"/>
  <c r="E18" i="5"/>
  <c r="D18" i="5"/>
  <c r="O9" i="5"/>
  <c r="N9" i="5"/>
  <c r="M9" i="5"/>
  <c r="L9" i="5"/>
  <c r="K9" i="5"/>
  <c r="J9" i="5"/>
  <c r="I9" i="5"/>
  <c r="H9" i="5"/>
  <c r="G9" i="5"/>
  <c r="F9" i="5"/>
  <c r="E9" i="5"/>
  <c r="D9" i="5"/>
  <c r="O19" i="1"/>
  <c r="N19" i="1"/>
  <c r="M19" i="1"/>
  <c r="L19" i="1"/>
  <c r="K19" i="1"/>
  <c r="J19" i="1"/>
  <c r="I19" i="1"/>
  <c r="H19" i="1"/>
  <c r="G19" i="1"/>
  <c r="F19" i="1"/>
  <c r="E19" i="1"/>
  <c r="D19" i="1"/>
  <c r="O10" i="1"/>
  <c r="O21" i="1" s="1"/>
  <c r="N10" i="1"/>
  <c r="N21" i="1" s="1"/>
  <c r="M10" i="1"/>
  <c r="M21" i="1" s="1"/>
  <c r="L10" i="1"/>
  <c r="L21" i="1" s="1"/>
  <c r="K10" i="1"/>
  <c r="K21" i="1" s="1"/>
  <c r="J10" i="1"/>
  <c r="J21" i="1" s="1"/>
  <c r="I10" i="1"/>
  <c r="I21" i="1" s="1"/>
  <c r="H10" i="1"/>
  <c r="H21" i="1" s="1"/>
  <c r="G10" i="1"/>
  <c r="G21" i="1" s="1"/>
  <c r="F10" i="1"/>
  <c r="F21" i="1" s="1"/>
  <c r="E10" i="1"/>
  <c r="E21" i="1" s="1"/>
  <c r="D10" i="1"/>
  <c r="I12" i="7" l="1"/>
  <c r="E12" i="7"/>
  <c r="H9" i="7"/>
  <c r="I9" i="7"/>
  <c r="F9" i="7"/>
  <c r="G9" i="7"/>
  <c r="D9" i="7"/>
  <c r="E9" i="7"/>
  <c r="D21" i="1"/>
</calcChain>
</file>

<file path=xl/sharedStrings.xml><?xml version="1.0" encoding="utf-8"?>
<sst xmlns="http://schemas.openxmlformats.org/spreadsheetml/2006/main" count="137" uniqueCount="44">
  <si>
    <t>生鮮食品売上</t>
  </si>
  <si>
    <t>加工食品売上</t>
  </si>
  <si>
    <t>菓子売上</t>
  </si>
  <si>
    <t>飲料売上</t>
  </si>
  <si>
    <t>惣菜売上</t>
  </si>
  <si>
    <t>人件費</t>
  </si>
  <si>
    <t>水道光熱費</t>
  </si>
  <si>
    <t>広告宣伝費</t>
  </si>
  <si>
    <t>物流費</t>
  </si>
  <si>
    <t>その他経費</t>
  </si>
  <si>
    <t>日用品売上</t>
  </si>
  <si>
    <t>販管費</t>
  </si>
  <si>
    <t>雑費</t>
  </si>
  <si>
    <t>売上</t>
    <rPh sb="0" eb="2">
      <t>ウリアゲ</t>
    </rPh>
    <phoneticPr fontId="1"/>
  </si>
  <si>
    <t>売上合計</t>
    <rPh sb="0" eb="4">
      <t>ウリアゲゴウケイ</t>
    </rPh>
    <phoneticPr fontId="1"/>
  </si>
  <si>
    <t>経費</t>
    <rPh sb="0" eb="2">
      <t>ケイヒ</t>
    </rPh>
    <phoneticPr fontId="1"/>
  </si>
  <si>
    <t>2022年3月</t>
  </si>
  <si>
    <t>2022年6月</t>
  </si>
  <si>
    <t>2022年9月</t>
  </si>
  <si>
    <t>2022年12月</t>
  </si>
  <si>
    <t>2023年3月</t>
  </si>
  <si>
    <t>2023年6月</t>
  </si>
  <si>
    <t>2023年9月</t>
  </si>
  <si>
    <t>2023年12月</t>
  </si>
  <si>
    <t>2024年3月</t>
  </si>
  <si>
    <t>2024年6月</t>
  </si>
  <si>
    <t>2024年9月</t>
  </si>
  <si>
    <t>2024年12月</t>
  </si>
  <si>
    <t>経費合計</t>
    <rPh sb="0" eb="4">
      <t>ケイヒゴウケイ</t>
    </rPh>
    <phoneticPr fontId="1"/>
  </si>
  <si>
    <t>利益</t>
    <rPh sb="0" eb="2">
      <t>リエキ</t>
    </rPh>
    <phoneticPr fontId="1"/>
  </si>
  <si>
    <t>上期</t>
    <rPh sb="0" eb="2">
      <t>カミキ</t>
    </rPh>
    <phoneticPr fontId="1"/>
  </si>
  <si>
    <t>下期</t>
    <rPh sb="0" eb="2">
      <t>シモキ</t>
    </rPh>
    <phoneticPr fontId="1"/>
  </si>
  <si>
    <t>■東京店舗データ</t>
    <rPh sb="1" eb="5">
      <t>トウキョウテンポ</t>
    </rPh>
    <phoneticPr fontId="1"/>
  </si>
  <si>
    <t>おもちゃ売上</t>
    <rPh sb="4" eb="6">
      <t>ウリアゲ</t>
    </rPh>
    <phoneticPr fontId="1"/>
  </si>
  <si>
    <t>売上合計</t>
    <rPh sb="0" eb="2">
      <t>ウリアゲ</t>
    </rPh>
    <rPh sb="2" eb="4">
      <t>ゴウケイ</t>
    </rPh>
    <phoneticPr fontId="1"/>
  </si>
  <si>
    <t>記帳日</t>
    <rPh sb="0" eb="3">
      <t>キチョウビ</t>
    </rPh>
    <phoneticPr fontId="1"/>
  </si>
  <si>
    <t>■大阪店舗データ</t>
    <rPh sb="1" eb="3">
      <t>オオサカ</t>
    </rPh>
    <rPh sb="3" eb="5">
      <t>テンポ</t>
    </rPh>
    <phoneticPr fontId="1"/>
  </si>
  <si>
    <t>■名古屋店舗データ</t>
    <rPh sb="1" eb="4">
      <t>ナゴヤ</t>
    </rPh>
    <rPh sb="4" eb="6">
      <t>テンポ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</si>
  <si>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</si>
  <si>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</si>
  <si>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</si>
  <si>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東京</t>
    <rPh sb="0" eb="2">
      <t>トウキョウ</t>
    </rPh>
    <phoneticPr fontId="1"/>
  </si>
  <si>
    <t>大阪</t>
    <rPh sb="0" eb="2">
      <t>オオサカ</t>
    </rPh>
    <phoneticPr fontId="1"/>
  </si>
  <si>
    <t>名古屋</t>
    <rPh sb="0" eb="3">
      <t>ナゴヤ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</si>
</sst>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5" xfId="0" applyFont="1" applyBorder="1"/>
    <xf numFmtId="3" fontId="2" fillId="0" borderId="7" xfId="0" applyNumberFormat="1" applyFont="1" applyBorder="1"/>
    <xf numFmtId="3" fontId="2" fillId="0" borderId="8" xfId="0" applyNumberFormat="1" applyFont="1" applyBorder="1"/>
    <xf numFmtId="3" fontId="2" fillId="0" borderId="9" xfId="0" applyNumberFormat="1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3" fontId="2" fillId="0" borderId="15" xfId="0" applyNumberFormat="1" applyFont="1" applyBorder="1"/>
    <xf numFmtId="3" fontId="2" fillId="0" borderId="10" xfId="0" applyNumberFormat="1" applyFont="1" applyBorder="1"/>
    <xf numFmtId="3" fontId="2" fillId="0" borderId="11" xfId="0" applyNumberFormat="1" applyFont="1" applyBorder="1"/>
    <xf numFmtId="3" fontId="2" fillId="0" borderId="12" xfId="0" applyNumberFormat="1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8" fontId="2" fillId="2" borderId="1" xfId="0" applyNumberFormat="1" applyFont="1" applyFill="1" applyBorder="1"/>
    <xf numFmtId="8" fontId="2" fillId="2" borderId="2" xfId="0" applyNumberFormat="1" applyFont="1" applyFill="1" applyBorder="1"/>
    <xf numFmtId="8" fontId="2" fillId="2" borderId="7" xfId="0" applyNumberFormat="1" applyFont="1" applyFill="1" applyBorder="1" applyAlignment="1">
      <alignment horizontal="center"/>
    </xf>
    <xf numFmtId="8" fontId="2" fillId="2" borderId="8" xfId="0" applyNumberFormat="1" applyFont="1" applyFill="1" applyBorder="1" applyAlignment="1">
      <alignment horizontal="center"/>
    </xf>
    <xf numFmtId="8" fontId="2" fillId="2" borderId="9" xfId="0" applyNumberFormat="1" applyFont="1" applyFill="1" applyBorder="1" applyAlignment="1">
      <alignment horizontal="center"/>
    </xf>
    <xf numFmtId="8" fontId="2" fillId="2" borderId="5" xfId="0" applyNumberFormat="1" applyFont="1" applyFill="1" applyBorder="1"/>
    <xf numFmtId="8" fontId="2" fillId="2" borderId="6" xfId="0" applyNumberFormat="1" applyFont="1" applyFill="1" applyBorder="1"/>
    <xf numFmtId="8" fontId="2" fillId="2" borderId="10" xfId="0" applyNumberFormat="1" applyFont="1" applyFill="1" applyBorder="1" applyAlignment="1">
      <alignment horizontal="center"/>
    </xf>
    <xf numFmtId="8" fontId="2" fillId="2" borderId="11" xfId="0" applyNumberFormat="1" applyFont="1" applyFill="1" applyBorder="1" applyAlignment="1">
      <alignment horizontal="center"/>
    </xf>
    <xf numFmtId="8" fontId="2" fillId="2" borderId="12" xfId="0" applyNumberFormat="1" applyFont="1" applyFill="1" applyBorder="1" applyAlignment="1">
      <alignment horizontal="center"/>
    </xf>
    <xf numFmtId="5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9CF9-DD88-4427-BA4F-3EC0E0E2A58B}">
  <dimension ref="B1:N14"/>
  <sheetViews>
    <sheetView showGridLines="0" tabSelected="1" zoomScale="130" zoomScaleNormal="130" workbookViewId="0"/>
  </sheetViews>
  <sheetFormatPr defaultRowHeight="13.5" x14ac:dyDescent="0.3"/>
  <cols>
    <col min="1" max="3" width="8.7265625" style="1"/>
    <col min="4" max="9" width="12.26953125" style="1" customWidth="1"/>
    <col min="10" max="10" width="10.7265625" style="1" bestFit="1" customWidth="1"/>
    <col min="11" max="11" width="8.81640625" style="1" bestFit="1" customWidth="1"/>
    <col min="12" max="12" width="10.7265625" style="1" bestFit="1" customWidth="1"/>
    <col min="13" max="13" width="8.81640625" style="1" bestFit="1" customWidth="1"/>
    <col min="14" max="14" width="10.7265625" style="1" bestFit="1" customWidth="1"/>
    <col min="15" max="16384" width="8.7265625" style="1"/>
  </cols>
  <sheetData>
    <row r="1" spans="2:14" x14ac:dyDescent="0.3">
      <c r="D1" s="31"/>
    </row>
    <row r="2" spans="2:14" x14ac:dyDescent="0.3">
      <c r="B2" s="21"/>
      <c r="C2" s="22"/>
      <c r="D2" s="23" t="s">
        <v>38</v>
      </c>
      <c r="E2" s="24" t="s">
        <v>38</v>
      </c>
      <c r="F2" s="24" t="s">
        <v>39</v>
      </c>
      <c r="G2" s="24" t="s">
        <v>39</v>
      </c>
      <c r="H2" s="24" t="s">
        <v>40</v>
      </c>
      <c r="I2" s="25" t="s">
        <v>40</v>
      </c>
    </row>
    <row r="3" spans="2:14" x14ac:dyDescent="0.3">
      <c r="B3" s="26"/>
      <c r="C3" s="27"/>
      <c r="D3" s="28" t="s">
        <v>30</v>
      </c>
      <c r="E3" s="29" t="s">
        <v>31</v>
      </c>
      <c r="F3" s="29" t="s">
        <v>30</v>
      </c>
      <c r="G3" s="29" t="s">
        <v>31</v>
      </c>
      <c r="H3" s="29" t="s">
        <v>30</v>
      </c>
      <c r="I3" s="30" t="s">
        <v>31</v>
      </c>
    </row>
    <row r="4" spans="2:14" x14ac:dyDescent="0.3">
      <c r="B4" s="6" t="s">
        <v>41</v>
      </c>
      <c r="C4" s="18" t="s">
        <v>13</v>
      </c>
      <c r="D4" s="9">
        <f>_xlfn.XLOOKUP(D$2&amp;"6月",Tokyo!$D$4:$O$4,Tokyo!$D$10:$O$10)</f>
        <v>32066309</v>
      </c>
      <c r="E4" s="10">
        <f>_xlfn.XLOOKUP(E$2&amp;"12月",Tokyo!$D$4:$O$4,Tokyo!$D$10:$O$10)-D4</f>
        <v>31747701</v>
      </c>
      <c r="F4" s="10">
        <f>_xlfn.XLOOKUP(F$2&amp;"6月",Tokyo!$D$4:$O$4,Tokyo!$D$10:$O$10)</f>
        <v>31542556</v>
      </c>
      <c r="G4" s="10">
        <f>_xlfn.XLOOKUP(G$2&amp;"12月",Tokyo!$D$4:$O$4,Tokyo!$D$10:$O$10)-F4</f>
        <v>32363987</v>
      </c>
      <c r="H4" s="10">
        <f>_xlfn.XLOOKUP(H$2&amp;"6月",Tokyo!$D$4:$O$4,Tokyo!$D$10:$O$10)</f>
        <v>31864513</v>
      </c>
      <c r="I4" s="11">
        <f>_xlfn.XLOOKUP(I$2&amp;"12月",Tokyo!$D$4:$O$4,Tokyo!$D$10:$O$10)-H4</f>
        <v>31363539</v>
      </c>
    </row>
    <row r="5" spans="2:14" x14ac:dyDescent="0.3">
      <c r="B5" s="7"/>
      <c r="C5" s="19" t="s">
        <v>15</v>
      </c>
      <c r="D5" s="12">
        <f>_xlfn.XLOOKUP(D$2&amp;"6月",Tokyo!$D$13:$O$13,Tokyo!$D$19:$O$19)</f>
        <v>8293211</v>
      </c>
      <c r="E5" s="13">
        <f>_xlfn.XLOOKUP(E$2&amp;"12月",Tokyo!$D$13:$O$13,Tokyo!$D$19:$O$19)-D5</f>
        <v>8311696</v>
      </c>
      <c r="F5" s="13">
        <f>_xlfn.XLOOKUP(F$2&amp;"6月",Tokyo!$D$13:$O$13,Tokyo!$D$19:$O$19)</f>
        <v>8133154</v>
      </c>
      <c r="G5" s="13">
        <f>_xlfn.XLOOKUP(G$2&amp;"12月",Tokyo!$D$13:$O$13,Tokyo!$D$19:$O$19)-F5</f>
        <v>8266496</v>
      </c>
      <c r="H5" s="13">
        <f>_xlfn.XLOOKUP(H$2&amp;"6月",Tokyo!$D$13:$O$13,Tokyo!$D$19:$O$19)</f>
        <v>8118650</v>
      </c>
      <c r="I5" s="14">
        <f>_xlfn.XLOOKUP(I$2&amp;"12月",Tokyo!$D$13:$O$13,Tokyo!$D$19:$O$19)-H5</f>
        <v>8304827</v>
      </c>
      <c r="J5" s="3"/>
    </row>
    <row r="6" spans="2:14" x14ac:dyDescent="0.3">
      <c r="B6" s="8"/>
      <c r="C6" s="20" t="s">
        <v>29</v>
      </c>
      <c r="D6" s="15">
        <f>D4-D5</f>
        <v>23773098</v>
      </c>
      <c r="E6" s="16">
        <f t="shared" ref="E6:I6" si="0">E4-E5</f>
        <v>23436005</v>
      </c>
      <c r="F6" s="16">
        <f t="shared" si="0"/>
        <v>23409402</v>
      </c>
      <c r="G6" s="16">
        <f t="shared" si="0"/>
        <v>24097491</v>
      </c>
      <c r="H6" s="16">
        <f t="shared" si="0"/>
        <v>23745863</v>
      </c>
      <c r="I6" s="17">
        <f t="shared" si="0"/>
        <v>23058712</v>
      </c>
    </row>
    <row r="7" spans="2:14" x14ac:dyDescent="0.3">
      <c r="B7" s="6" t="s">
        <v>42</v>
      </c>
      <c r="C7" s="18" t="s">
        <v>13</v>
      </c>
      <c r="D7" s="9">
        <f>_xlfn.XLOOKUP(D$2&amp;"3月",Osaka!$D$4:$O$4,Osaka!$D$9:$O$9)+_xlfn.XLOOKUP(D$2&amp;"6月",Osaka!$D$4:$O$4,Osaka!$D$9:$O$9)</f>
        <v>8685472</v>
      </c>
      <c r="E7" s="10">
        <f>_xlfn.XLOOKUP(E$2&amp;"9月",Osaka!$D$4:$O$4,Osaka!$D$9:$O$9)+_xlfn.XLOOKUP(E$2&amp;"12月",Osaka!$D$4:$O$4,Osaka!$D$9:$O$9)</f>
        <v>8423949</v>
      </c>
      <c r="F7" s="9">
        <f>_xlfn.XLOOKUP(F$2&amp;"3月",Osaka!$D$4:$O$4,Osaka!$D$9:$O$9)+_xlfn.XLOOKUP(F$2&amp;"6月",Osaka!$D$4:$O$4,Osaka!$D$9:$O$9)</f>
        <v>8283939</v>
      </c>
      <c r="G7" s="10">
        <f>_xlfn.XLOOKUP(G$2&amp;"9月",Osaka!$D$4:$O$4,Osaka!$D$9:$O$9)+_xlfn.XLOOKUP(G$2&amp;"12月",Osaka!$D$4:$O$4,Osaka!$D$9:$O$9)</f>
        <v>8712481</v>
      </c>
      <c r="H7" s="9">
        <f>_xlfn.XLOOKUP(H$2&amp;"3月",Osaka!$D$4:$O$4,Osaka!$D$9:$O$9)+_xlfn.XLOOKUP(H$2&amp;"6月",Osaka!$D$4:$O$4,Osaka!$D$9:$O$9)</f>
        <v>8306843</v>
      </c>
      <c r="I7" s="11">
        <f>_xlfn.XLOOKUP(I$2&amp;"9月",Osaka!$D$4:$O$4,Osaka!$D$9:$O$9)+_xlfn.XLOOKUP(I$2&amp;"12月",Osaka!$D$4:$O$4,Osaka!$D$9:$O$9)</f>
        <v>8896525</v>
      </c>
    </row>
    <row r="8" spans="2:14" x14ac:dyDescent="0.3">
      <c r="B8" s="7"/>
      <c r="C8" s="19" t="s">
        <v>15</v>
      </c>
      <c r="D8" s="12">
        <f>_xlfn.XLOOKUP(D$2&amp;"3月",Osaka!$D$4:$O$4,Osaka!$D$18:$O$18)+_xlfn.XLOOKUP(D$2&amp;"6月",Osaka!$D$4:$O$4,Osaka!$D$18:$O$18)</f>
        <v>2757551</v>
      </c>
      <c r="E8" s="13">
        <f>_xlfn.XLOOKUP(E$2&amp;"9月",Osaka!$D$4:$O$4,Osaka!$D$18:$O$18)+_xlfn.XLOOKUP(E$2&amp;"12月",Osaka!$D$4:$O$4,Osaka!$D$18:$O$18)</f>
        <v>2655238</v>
      </c>
      <c r="F8" s="12">
        <f>_xlfn.XLOOKUP(F$2&amp;"3月",Osaka!$D$4:$O$4,Osaka!$D$18:$O$18)+_xlfn.XLOOKUP(F$2&amp;"6月",Osaka!$D$4:$O$4,Osaka!$D$18:$O$18)</f>
        <v>2777176</v>
      </c>
      <c r="G8" s="13">
        <f>_xlfn.XLOOKUP(G$2&amp;"9月",Osaka!$D$4:$O$4,Osaka!$D$18:$O$18)+_xlfn.XLOOKUP(G$2&amp;"12月",Osaka!$D$4:$O$4,Osaka!$D$18:$O$18)</f>
        <v>2764608</v>
      </c>
      <c r="H8" s="12">
        <f>_xlfn.XLOOKUP(H$2&amp;"3月",Osaka!$D$4:$O$4,Osaka!$D$18:$O$18)+_xlfn.XLOOKUP(H$2&amp;"6月",Osaka!$D$4:$O$4,Osaka!$D$18:$O$18)</f>
        <v>2764378</v>
      </c>
      <c r="I8" s="14">
        <f>_xlfn.XLOOKUP(I$2&amp;"9月",Osaka!$D$4:$O$4,Osaka!$D$18:$O$18)+_xlfn.XLOOKUP(I$2&amp;"12月",Osaka!$D$4:$O$4,Osaka!$D$18:$O$18)</f>
        <v>2715449</v>
      </c>
    </row>
    <row r="9" spans="2:14" x14ac:dyDescent="0.3">
      <c r="B9" s="8"/>
      <c r="C9" s="20" t="s">
        <v>29</v>
      </c>
      <c r="D9" s="15">
        <f>D7-D8</f>
        <v>5927921</v>
      </c>
      <c r="E9" s="16">
        <f t="shared" ref="E9" si="1">E7-E8</f>
        <v>5768711</v>
      </c>
      <c r="F9" s="16">
        <f t="shared" ref="F9" si="2">F7-F8</f>
        <v>5506763</v>
      </c>
      <c r="G9" s="16">
        <f t="shared" ref="G9" si="3">G7-G8</f>
        <v>5947873</v>
      </c>
      <c r="H9" s="16">
        <f t="shared" ref="H9" si="4">H7-H8</f>
        <v>5542465</v>
      </c>
      <c r="I9" s="17">
        <f t="shared" ref="I9" si="5">I7-I8</f>
        <v>6181076</v>
      </c>
    </row>
    <row r="10" spans="2:14" x14ac:dyDescent="0.3">
      <c r="B10" s="6" t="s">
        <v>43</v>
      </c>
      <c r="C10" s="18" t="s">
        <v>13</v>
      </c>
      <c r="D10" s="9">
        <f>_xlfn.XLOOKUP(D$2&amp;"6月",Nagoya!$D$4:$O$4,Nagoya!$D$10:$O$10)</f>
        <v>31655086</v>
      </c>
      <c r="E10" s="10">
        <f>_xlfn.XLOOKUP(E$2&amp;"12月",Nagoya!$D$4:$O$4,Nagoya!$D$10:$O$10)-D10</f>
        <v>31955119</v>
      </c>
      <c r="F10" s="10">
        <f>_xlfn.XLOOKUP(F$2&amp;"6月",Nagoya!$D$4:$O$4,Nagoya!$D$10:$O$10)</f>
        <v>32339225</v>
      </c>
      <c r="G10" s="10">
        <f>_xlfn.XLOOKUP(G$2&amp;"12月",Nagoya!$D$4:$O$4,Nagoya!$D$10:$O$10)-F10</f>
        <v>31413209</v>
      </c>
      <c r="H10" s="10">
        <f>_xlfn.XLOOKUP(H$2&amp;"6月",Nagoya!$D$4:$O$4,Nagoya!$D$10:$O$10)</f>
        <v>32179746</v>
      </c>
      <c r="I10" s="11">
        <f>_xlfn.XLOOKUP(I$2&amp;"12月",Nagoya!$D$4:$O$4,Nagoya!$D$10:$O$10)-H10</f>
        <v>31676664</v>
      </c>
    </row>
    <row r="11" spans="2:14" x14ac:dyDescent="0.3">
      <c r="B11" s="7"/>
      <c r="C11" s="19" t="s">
        <v>15</v>
      </c>
      <c r="D11" s="12">
        <f>_xlfn.XLOOKUP(D$2&amp;"6月",Nagoya!$D$4:$O$4,Nagoya!$D$20:$O$20)</f>
        <v>8172451</v>
      </c>
      <c r="E11" s="13">
        <f>_xlfn.XLOOKUP(E$2&amp;"12月",Nagoya!$D$4:$O$4,Nagoya!$D$20:$O$20)-D11</f>
        <v>8343962</v>
      </c>
      <c r="F11" s="13">
        <f>_xlfn.XLOOKUP(F$2&amp;"6月",Nagoya!$D$4:$O$4,Nagoya!$D$20:$O$20)</f>
        <v>8153094</v>
      </c>
      <c r="G11" s="13">
        <f>_xlfn.XLOOKUP(G$2&amp;"12月",Nagoya!$D$4:$O$4,Nagoya!$D$20:$O$20)-F11</f>
        <v>8512634</v>
      </c>
      <c r="H11" s="13">
        <f>_xlfn.XLOOKUP(H$2&amp;"6月",Nagoya!$D$4:$O$4,Nagoya!$D$20:$O$20)</f>
        <v>8323882</v>
      </c>
      <c r="I11" s="14">
        <f>_xlfn.XLOOKUP(I$2&amp;"12月",Nagoya!$D$4:$O$4,Nagoya!$D$20:$O$20)-H11</f>
        <v>8235565</v>
      </c>
    </row>
    <row r="12" spans="2:14" x14ac:dyDescent="0.3">
      <c r="B12" s="8"/>
      <c r="C12" s="20" t="s">
        <v>29</v>
      </c>
      <c r="D12" s="15">
        <f>D10-D11</f>
        <v>23482635</v>
      </c>
      <c r="E12" s="16">
        <f t="shared" ref="E12" si="6">E10-E11</f>
        <v>23611157</v>
      </c>
      <c r="F12" s="16">
        <f t="shared" ref="F12" si="7">F10-F11</f>
        <v>24186131</v>
      </c>
      <c r="G12" s="16">
        <f t="shared" ref="G12" si="8">G10-G11</f>
        <v>22900575</v>
      </c>
      <c r="H12" s="16">
        <f t="shared" ref="H12" si="9">H10-H11</f>
        <v>23855864</v>
      </c>
      <c r="I12" s="17">
        <f t="shared" ref="I12" si="10">I10-I11</f>
        <v>23441099</v>
      </c>
    </row>
    <row r="14" spans="2:14" x14ac:dyDescent="0.3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</sheetData>
  <phoneticPr fontId="1"/>
  <pageMargins left="0.7" right="0.7" top="0.75" bottom="0.75" header="0.3" footer="0.3"/>
  <ignoredErrors>
    <ignoredError sqref="B2:I1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21"/>
  <sheetViews>
    <sheetView workbookViewId="0"/>
  </sheetViews>
  <sheetFormatPr defaultRowHeight="13.5" x14ac:dyDescent="0.3"/>
  <cols>
    <col min="1" max="1" width="6.81640625" style="1" bestFit="1" customWidth="1"/>
    <col min="2" max="2" width="4.36328125" style="1" bestFit="1" customWidth="1"/>
    <col min="3" max="3" width="13.6328125" style="1" bestFit="1" customWidth="1"/>
    <col min="4" max="4" width="13.36328125" style="3" bestFit="1" customWidth="1"/>
    <col min="5" max="6" width="12.26953125" style="3" bestFit="1" customWidth="1"/>
    <col min="7" max="7" width="13.6328125" style="3" bestFit="1" customWidth="1"/>
    <col min="8" max="10" width="12.26953125" style="3" bestFit="1" customWidth="1"/>
    <col min="11" max="11" width="13.6328125" style="3" bestFit="1" customWidth="1"/>
    <col min="12" max="14" width="12.26953125" style="3" bestFit="1" customWidth="1"/>
    <col min="15" max="15" width="13.6328125" style="3" bestFit="1" customWidth="1"/>
    <col min="16" max="18" width="12" style="3" bestFit="1" customWidth="1"/>
    <col min="19" max="19" width="13.36328125" style="3" bestFit="1" customWidth="1"/>
    <col min="20" max="22" width="12" style="3" bestFit="1" customWidth="1"/>
    <col min="23" max="23" width="13.36328125" style="3" bestFit="1" customWidth="1"/>
    <col min="24" max="16384" width="8.7265625" style="1"/>
  </cols>
  <sheetData>
    <row r="2" spans="2:15" x14ac:dyDescent="0.3">
      <c r="B2" s="2" t="s">
        <v>32</v>
      </c>
    </row>
    <row r="3" spans="2:15" x14ac:dyDescent="0.3">
      <c r="D3" s="3" t="s">
        <v>35</v>
      </c>
    </row>
    <row r="4" spans="2:15" x14ac:dyDescent="0.3">
      <c r="C4" s="4" t="s">
        <v>13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</row>
    <row r="5" spans="2:15" x14ac:dyDescent="0.3">
      <c r="C5" s="1" t="s">
        <v>0</v>
      </c>
      <c r="D5" s="3">
        <v>3204959</v>
      </c>
      <c r="E5" s="3">
        <v>6566622</v>
      </c>
      <c r="F5" s="3">
        <v>9742787</v>
      </c>
      <c r="G5" s="3">
        <v>12845206</v>
      </c>
      <c r="H5" s="3">
        <v>3289948</v>
      </c>
      <c r="I5" s="3">
        <v>6447561</v>
      </c>
      <c r="J5" s="3">
        <v>9749984</v>
      </c>
      <c r="K5" s="3">
        <v>13006730</v>
      </c>
      <c r="L5" s="3">
        <v>3349729</v>
      </c>
      <c r="M5" s="3">
        <v>6369905</v>
      </c>
      <c r="N5" s="3">
        <v>9353644</v>
      </c>
      <c r="O5" s="3">
        <v>12602694</v>
      </c>
    </row>
    <row r="6" spans="2:15" x14ac:dyDescent="0.3">
      <c r="C6" s="1" t="s">
        <v>1</v>
      </c>
      <c r="D6" s="3">
        <v>3164166</v>
      </c>
      <c r="E6" s="3">
        <v>6277424</v>
      </c>
      <c r="F6" s="3">
        <v>9758392</v>
      </c>
      <c r="G6" s="3">
        <v>12792169</v>
      </c>
      <c r="H6" s="3">
        <v>3109373</v>
      </c>
      <c r="I6" s="3">
        <v>6293548</v>
      </c>
      <c r="J6" s="3">
        <v>9635533</v>
      </c>
      <c r="K6" s="3">
        <v>12860053</v>
      </c>
      <c r="L6" s="3">
        <v>3406379</v>
      </c>
      <c r="M6" s="3">
        <v>6526462</v>
      </c>
      <c r="N6" s="3">
        <v>9640212</v>
      </c>
      <c r="O6" s="3">
        <v>12995270</v>
      </c>
    </row>
    <row r="7" spans="2:15" x14ac:dyDescent="0.3">
      <c r="C7" s="1" t="s">
        <v>2</v>
      </c>
      <c r="D7" s="3">
        <v>3261476</v>
      </c>
      <c r="E7" s="3">
        <v>6517662</v>
      </c>
      <c r="F7" s="3">
        <v>9475169</v>
      </c>
      <c r="G7" s="3">
        <v>12695399</v>
      </c>
      <c r="H7" s="3">
        <v>2857033</v>
      </c>
      <c r="I7" s="3">
        <v>6343029</v>
      </c>
      <c r="J7" s="3">
        <v>9492534</v>
      </c>
      <c r="K7" s="3">
        <v>12626353</v>
      </c>
      <c r="L7" s="3">
        <v>3091084</v>
      </c>
      <c r="M7" s="3">
        <v>6250403</v>
      </c>
      <c r="N7" s="3">
        <v>9450465</v>
      </c>
      <c r="O7" s="3">
        <v>12262153</v>
      </c>
    </row>
    <row r="8" spans="2:15" x14ac:dyDescent="0.3">
      <c r="C8" s="1" t="s">
        <v>3</v>
      </c>
      <c r="D8" s="3">
        <v>3322034</v>
      </c>
      <c r="E8" s="3">
        <v>6388563</v>
      </c>
      <c r="F8" s="3">
        <v>9849131</v>
      </c>
      <c r="G8" s="3">
        <v>12779348</v>
      </c>
      <c r="H8" s="3">
        <v>3241988</v>
      </c>
      <c r="I8" s="3">
        <v>6205542</v>
      </c>
      <c r="J8" s="3">
        <v>9404242</v>
      </c>
      <c r="K8" s="3">
        <v>12787126</v>
      </c>
      <c r="L8" s="3">
        <v>3290792</v>
      </c>
      <c r="M8" s="3">
        <v>6443415</v>
      </c>
      <c r="N8" s="3">
        <v>9610651</v>
      </c>
      <c r="O8" s="3">
        <v>12891531</v>
      </c>
    </row>
    <row r="9" spans="2:15" x14ac:dyDescent="0.3">
      <c r="C9" s="1" t="s">
        <v>4</v>
      </c>
      <c r="D9" s="3">
        <v>3036327</v>
      </c>
      <c r="E9" s="3">
        <v>6316038</v>
      </c>
      <c r="F9" s="3">
        <v>9622005</v>
      </c>
      <c r="G9" s="3">
        <v>12701888</v>
      </c>
      <c r="H9" s="3">
        <v>3151893</v>
      </c>
      <c r="I9" s="3">
        <v>6252876</v>
      </c>
      <c r="J9" s="3">
        <v>9287522</v>
      </c>
      <c r="K9" s="3">
        <v>12626281</v>
      </c>
      <c r="L9" s="3">
        <v>3236007</v>
      </c>
      <c r="M9" s="3">
        <v>6274328</v>
      </c>
      <c r="N9" s="3">
        <v>9415457</v>
      </c>
      <c r="O9" s="3">
        <v>12476404</v>
      </c>
    </row>
    <row r="10" spans="2:15" x14ac:dyDescent="0.3">
      <c r="C10" s="1" t="s">
        <v>14</v>
      </c>
      <c r="D10" s="3">
        <f>SUM(D5:D9)</f>
        <v>15988962</v>
      </c>
      <c r="E10" s="3">
        <f t="shared" ref="E10:O10" si="0">SUM(E5:E9)</f>
        <v>32066309</v>
      </c>
      <c r="F10" s="3">
        <f t="shared" si="0"/>
        <v>48447484</v>
      </c>
      <c r="G10" s="3">
        <f t="shared" si="0"/>
        <v>63814010</v>
      </c>
      <c r="H10" s="3">
        <f t="shared" si="0"/>
        <v>15650235</v>
      </c>
      <c r="I10" s="3">
        <f t="shared" si="0"/>
        <v>31542556</v>
      </c>
      <c r="J10" s="3">
        <f t="shared" si="0"/>
        <v>47569815</v>
      </c>
      <c r="K10" s="3">
        <f t="shared" si="0"/>
        <v>63906543</v>
      </c>
      <c r="L10" s="3">
        <f t="shared" si="0"/>
        <v>16373991</v>
      </c>
      <c r="M10" s="3">
        <f t="shared" si="0"/>
        <v>31864513</v>
      </c>
      <c r="N10" s="3">
        <f t="shared" si="0"/>
        <v>47470429</v>
      </c>
      <c r="O10" s="3">
        <f t="shared" si="0"/>
        <v>63228052</v>
      </c>
    </row>
    <row r="12" spans="2:15" x14ac:dyDescent="0.3">
      <c r="D12" s="3" t="s">
        <v>35</v>
      </c>
    </row>
    <row r="13" spans="2:15" x14ac:dyDescent="0.3">
      <c r="C13" s="4" t="s">
        <v>15</v>
      </c>
      <c r="D13" s="5" t="s">
        <v>16</v>
      </c>
      <c r="E13" s="5" t="s">
        <v>17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26</v>
      </c>
      <c r="O13" s="5" t="s">
        <v>27</v>
      </c>
    </row>
    <row r="14" spans="2:15" x14ac:dyDescent="0.3">
      <c r="C14" s="1" t="s">
        <v>5</v>
      </c>
      <c r="D14" s="3">
        <v>838073</v>
      </c>
      <c r="E14" s="3">
        <v>1666021</v>
      </c>
      <c r="F14" s="3">
        <v>2499364</v>
      </c>
      <c r="G14" s="3">
        <v>3305653</v>
      </c>
      <c r="H14" s="3">
        <v>753203</v>
      </c>
      <c r="I14" s="3">
        <v>1608767</v>
      </c>
      <c r="J14" s="3">
        <v>2385775</v>
      </c>
      <c r="K14" s="3">
        <v>3238716</v>
      </c>
      <c r="L14" s="3">
        <v>800548</v>
      </c>
      <c r="M14" s="3">
        <v>1635537</v>
      </c>
      <c r="N14" s="3">
        <v>2458866</v>
      </c>
      <c r="O14" s="3">
        <v>3314736</v>
      </c>
    </row>
    <row r="15" spans="2:15" x14ac:dyDescent="0.3">
      <c r="C15" s="1" t="s">
        <v>6</v>
      </c>
      <c r="D15" s="3">
        <v>792061</v>
      </c>
      <c r="E15" s="3">
        <v>1600945</v>
      </c>
      <c r="F15" s="3">
        <v>2444794</v>
      </c>
      <c r="G15" s="3">
        <v>3313565</v>
      </c>
      <c r="H15" s="3">
        <v>826414</v>
      </c>
      <c r="I15" s="3">
        <v>1665027</v>
      </c>
      <c r="J15" s="3">
        <v>2472951</v>
      </c>
      <c r="K15" s="3">
        <v>3324700</v>
      </c>
      <c r="L15" s="3">
        <v>850715</v>
      </c>
      <c r="M15" s="3">
        <v>1612523</v>
      </c>
      <c r="N15" s="3">
        <v>2451456</v>
      </c>
      <c r="O15" s="3">
        <v>3273009</v>
      </c>
    </row>
    <row r="16" spans="2:15" x14ac:dyDescent="0.3">
      <c r="C16" s="1" t="s">
        <v>7</v>
      </c>
      <c r="D16" s="3">
        <v>867623</v>
      </c>
      <c r="E16" s="3">
        <v>1713727</v>
      </c>
      <c r="F16" s="3">
        <v>2548187</v>
      </c>
      <c r="G16" s="3">
        <v>3373357</v>
      </c>
      <c r="H16" s="3">
        <v>836609</v>
      </c>
      <c r="I16" s="3">
        <v>1611788</v>
      </c>
      <c r="J16" s="3">
        <v>2447087</v>
      </c>
      <c r="K16" s="3">
        <v>3240510</v>
      </c>
      <c r="L16" s="3">
        <v>816636</v>
      </c>
      <c r="M16" s="3">
        <v>1658010</v>
      </c>
      <c r="N16" s="3">
        <v>2463229</v>
      </c>
      <c r="O16" s="3">
        <v>3249683</v>
      </c>
    </row>
    <row r="17" spans="3:15" x14ac:dyDescent="0.3">
      <c r="C17" s="1" t="s">
        <v>8</v>
      </c>
      <c r="D17" s="3">
        <v>831596</v>
      </c>
      <c r="E17" s="3">
        <v>1671509</v>
      </c>
      <c r="F17" s="3">
        <v>2491550</v>
      </c>
      <c r="G17" s="3">
        <v>3315405</v>
      </c>
      <c r="H17" s="3">
        <v>838762</v>
      </c>
      <c r="I17" s="3">
        <v>1641899</v>
      </c>
      <c r="J17" s="3">
        <v>2479608</v>
      </c>
      <c r="K17" s="3">
        <v>3273806</v>
      </c>
      <c r="L17" s="3">
        <v>790040</v>
      </c>
      <c r="M17" s="3">
        <v>1514670</v>
      </c>
      <c r="N17" s="3">
        <v>2371245</v>
      </c>
      <c r="O17" s="3">
        <v>3260241</v>
      </c>
    </row>
    <row r="18" spans="3:15" x14ac:dyDescent="0.3">
      <c r="C18" s="1" t="s">
        <v>9</v>
      </c>
      <c r="D18" s="3">
        <v>800123</v>
      </c>
      <c r="E18" s="3">
        <v>1641009</v>
      </c>
      <c r="F18" s="3">
        <v>2444023</v>
      </c>
      <c r="G18" s="3">
        <v>3296927</v>
      </c>
      <c r="H18" s="3">
        <v>790941</v>
      </c>
      <c r="I18" s="3">
        <v>1605673</v>
      </c>
      <c r="J18" s="3">
        <v>2476345</v>
      </c>
      <c r="K18" s="3">
        <v>3321918</v>
      </c>
      <c r="L18" s="3">
        <v>840508</v>
      </c>
      <c r="M18" s="3">
        <v>1697910</v>
      </c>
      <c r="N18" s="3">
        <v>2503224</v>
      </c>
      <c r="O18" s="3">
        <v>3325808</v>
      </c>
    </row>
    <row r="19" spans="3:15" x14ac:dyDescent="0.3">
      <c r="C19" s="1" t="s">
        <v>28</v>
      </c>
      <c r="D19" s="3">
        <f>SUM(D14:D18)</f>
        <v>4129476</v>
      </c>
      <c r="E19" s="3">
        <f t="shared" ref="E19" si="1">SUM(E14:E18)</f>
        <v>8293211</v>
      </c>
      <c r="F19" s="3">
        <f t="shared" ref="F19" si="2">SUM(F14:F18)</f>
        <v>12427918</v>
      </c>
      <c r="G19" s="3">
        <f t="shared" ref="G19" si="3">SUM(G14:G18)</f>
        <v>16604907</v>
      </c>
      <c r="H19" s="3">
        <f t="shared" ref="H19" si="4">SUM(H14:H18)</f>
        <v>4045929</v>
      </c>
      <c r="I19" s="3">
        <f t="shared" ref="I19" si="5">SUM(I14:I18)</f>
        <v>8133154</v>
      </c>
      <c r="J19" s="3">
        <f t="shared" ref="J19" si="6">SUM(J14:J18)</f>
        <v>12261766</v>
      </c>
      <c r="K19" s="3">
        <f t="shared" ref="K19" si="7">SUM(K14:K18)</f>
        <v>16399650</v>
      </c>
      <c r="L19" s="3">
        <f t="shared" ref="L19" si="8">SUM(L14:L18)</f>
        <v>4098447</v>
      </c>
      <c r="M19" s="3">
        <f t="shared" ref="M19" si="9">SUM(M14:M18)</f>
        <v>8118650</v>
      </c>
      <c r="N19" s="3">
        <f t="shared" ref="N19" si="10">SUM(N14:N18)</f>
        <v>12248020</v>
      </c>
      <c r="O19" s="3">
        <f t="shared" ref="O19" si="11">SUM(O14:O18)</f>
        <v>16423477</v>
      </c>
    </row>
    <row r="21" spans="3:15" x14ac:dyDescent="0.3">
      <c r="C21" s="1" t="s">
        <v>29</v>
      </c>
      <c r="D21" s="3">
        <f>D10-D19</f>
        <v>11859486</v>
      </c>
      <c r="E21" s="3">
        <f t="shared" ref="E21:O21" si="12">E10-E19</f>
        <v>23773098</v>
      </c>
      <c r="F21" s="3">
        <f t="shared" si="12"/>
        <v>36019566</v>
      </c>
      <c r="G21" s="3">
        <f t="shared" si="12"/>
        <v>47209103</v>
      </c>
      <c r="H21" s="3">
        <f t="shared" si="12"/>
        <v>11604306</v>
      </c>
      <c r="I21" s="3">
        <f t="shared" si="12"/>
        <v>23409402</v>
      </c>
      <c r="J21" s="3">
        <f t="shared" si="12"/>
        <v>35308049</v>
      </c>
      <c r="K21" s="3">
        <f t="shared" si="12"/>
        <v>47506893</v>
      </c>
      <c r="L21" s="3">
        <f t="shared" si="12"/>
        <v>12275544</v>
      </c>
      <c r="M21" s="3">
        <f t="shared" si="12"/>
        <v>23745863</v>
      </c>
      <c r="N21" s="3">
        <f t="shared" si="12"/>
        <v>35222409</v>
      </c>
      <c r="O21" s="3">
        <f t="shared" si="12"/>
        <v>46804575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E1E9-66C5-41F9-88E2-E786F093D916}">
  <dimension ref="B2:W20"/>
  <sheetViews>
    <sheetView workbookViewId="0"/>
  </sheetViews>
  <sheetFormatPr defaultRowHeight="13.5" x14ac:dyDescent="0.3"/>
  <cols>
    <col min="1" max="1" width="6.81640625" style="1" bestFit="1" customWidth="1"/>
    <col min="2" max="2" width="4.36328125" style="1" bestFit="1" customWidth="1"/>
    <col min="3" max="3" width="13.6328125" style="1" bestFit="1" customWidth="1"/>
    <col min="4" max="4" width="13.36328125" style="3" bestFit="1" customWidth="1"/>
    <col min="5" max="6" width="12.26953125" style="3" bestFit="1" customWidth="1"/>
    <col min="7" max="7" width="13.6328125" style="3" bestFit="1" customWidth="1"/>
    <col min="8" max="10" width="12.26953125" style="3" bestFit="1" customWidth="1"/>
    <col min="11" max="11" width="13.6328125" style="3" bestFit="1" customWidth="1"/>
    <col min="12" max="14" width="12.26953125" style="3" bestFit="1" customWidth="1"/>
    <col min="15" max="15" width="13.6328125" style="3" bestFit="1" customWidth="1"/>
    <col min="16" max="18" width="12" style="3" bestFit="1" customWidth="1"/>
    <col min="19" max="19" width="13.36328125" style="3" bestFit="1" customWidth="1"/>
    <col min="20" max="22" width="12" style="3" bestFit="1" customWidth="1"/>
    <col min="23" max="23" width="13.36328125" style="3" bestFit="1" customWidth="1"/>
    <col min="24" max="16384" width="8.7265625" style="1"/>
  </cols>
  <sheetData>
    <row r="2" spans="2:15" s="3" customFormat="1" x14ac:dyDescent="0.3">
      <c r="B2" s="2" t="s">
        <v>36</v>
      </c>
      <c r="C2" s="1"/>
    </row>
    <row r="3" spans="2:15" x14ac:dyDescent="0.3">
      <c r="D3" s="3" t="s">
        <v>35</v>
      </c>
    </row>
    <row r="4" spans="2:15" s="3" customFormat="1" x14ac:dyDescent="0.3">
      <c r="B4" s="1"/>
      <c r="C4" s="4" t="s">
        <v>13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</row>
    <row r="5" spans="2:15" s="3" customFormat="1" x14ac:dyDescent="0.3">
      <c r="B5" s="1"/>
      <c r="C5" s="1" t="s">
        <v>2</v>
      </c>
      <c r="D5" s="3">
        <v>1176494</v>
      </c>
      <c r="E5" s="3">
        <v>1011344</v>
      </c>
      <c r="F5" s="3">
        <v>1024692</v>
      </c>
      <c r="G5" s="3">
        <v>1125960</v>
      </c>
      <c r="H5" s="3">
        <v>933154</v>
      </c>
      <c r="I5" s="3">
        <v>1037337</v>
      </c>
      <c r="J5" s="3">
        <v>1001043</v>
      </c>
      <c r="K5" s="3">
        <v>967560</v>
      </c>
      <c r="L5" s="3">
        <v>1041820</v>
      </c>
      <c r="M5" s="3">
        <v>1040990</v>
      </c>
      <c r="N5" s="3">
        <v>1024188</v>
      </c>
      <c r="O5" s="3">
        <v>1197323</v>
      </c>
    </row>
    <row r="6" spans="2:15" s="3" customFormat="1" x14ac:dyDescent="0.3">
      <c r="B6" s="1"/>
      <c r="C6" s="1" t="s">
        <v>3</v>
      </c>
      <c r="D6" s="3">
        <v>1109530</v>
      </c>
      <c r="E6" s="3">
        <v>1090252</v>
      </c>
      <c r="F6" s="3">
        <v>1009987</v>
      </c>
      <c r="G6" s="3">
        <v>1004080</v>
      </c>
      <c r="H6" s="3">
        <v>1107631</v>
      </c>
      <c r="I6" s="3">
        <v>1062836</v>
      </c>
      <c r="J6" s="3">
        <v>1111000</v>
      </c>
      <c r="K6" s="3">
        <v>1108528</v>
      </c>
      <c r="L6" s="3">
        <v>1098891</v>
      </c>
      <c r="M6" s="3">
        <v>997190</v>
      </c>
      <c r="N6" s="3">
        <v>1049766</v>
      </c>
      <c r="O6" s="3">
        <v>1229158</v>
      </c>
    </row>
    <row r="7" spans="2:15" s="3" customFormat="1" x14ac:dyDescent="0.3">
      <c r="B7" s="1"/>
      <c r="C7" s="1" t="s">
        <v>33</v>
      </c>
      <c r="D7" s="3">
        <v>1045043</v>
      </c>
      <c r="E7" s="3">
        <v>1084446</v>
      </c>
      <c r="F7" s="3">
        <v>1028860</v>
      </c>
      <c r="G7" s="3">
        <v>1083707</v>
      </c>
      <c r="H7" s="3">
        <v>992899</v>
      </c>
      <c r="I7" s="3">
        <v>1066685</v>
      </c>
      <c r="J7" s="3">
        <v>1103376</v>
      </c>
      <c r="K7" s="3">
        <v>1059819</v>
      </c>
      <c r="L7" s="3">
        <v>992326</v>
      </c>
      <c r="M7" s="3">
        <v>1190781</v>
      </c>
      <c r="N7" s="3">
        <v>989218</v>
      </c>
      <c r="O7" s="3">
        <v>1192334</v>
      </c>
    </row>
    <row r="8" spans="2:15" x14ac:dyDescent="0.3">
      <c r="C8" s="1" t="s">
        <v>10</v>
      </c>
      <c r="D8" s="3">
        <v>1200376</v>
      </c>
      <c r="E8" s="3">
        <v>967987</v>
      </c>
      <c r="F8" s="3">
        <v>1098343</v>
      </c>
      <c r="G8" s="3">
        <v>1048320</v>
      </c>
      <c r="H8" s="3">
        <v>964797</v>
      </c>
      <c r="I8" s="3">
        <v>1118600</v>
      </c>
      <c r="J8" s="3">
        <v>1186486</v>
      </c>
      <c r="K8" s="3">
        <v>1174669</v>
      </c>
      <c r="L8" s="3">
        <v>974856</v>
      </c>
      <c r="M8" s="3">
        <v>969989</v>
      </c>
      <c r="N8" s="3">
        <v>1165326</v>
      </c>
      <c r="O8" s="3">
        <v>1049212</v>
      </c>
    </row>
    <row r="9" spans="2:15" x14ac:dyDescent="0.3">
      <c r="C9" s="1" t="s">
        <v>34</v>
      </c>
      <c r="D9" s="3">
        <f>SUM(D5:D8)</f>
        <v>4531443</v>
      </c>
      <c r="E9" s="3">
        <f t="shared" ref="E9:O9" si="0">SUM(E5:E8)</f>
        <v>4154029</v>
      </c>
      <c r="F9" s="3">
        <f t="shared" si="0"/>
        <v>4161882</v>
      </c>
      <c r="G9" s="3">
        <f t="shared" si="0"/>
        <v>4262067</v>
      </c>
      <c r="H9" s="3">
        <f t="shared" si="0"/>
        <v>3998481</v>
      </c>
      <c r="I9" s="3">
        <f t="shared" si="0"/>
        <v>4285458</v>
      </c>
      <c r="J9" s="3">
        <f t="shared" si="0"/>
        <v>4401905</v>
      </c>
      <c r="K9" s="3">
        <f t="shared" si="0"/>
        <v>4310576</v>
      </c>
      <c r="L9" s="3">
        <f t="shared" si="0"/>
        <v>4107893</v>
      </c>
      <c r="M9" s="3">
        <f t="shared" si="0"/>
        <v>4198950</v>
      </c>
      <c r="N9" s="3">
        <f t="shared" si="0"/>
        <v>4228498</v>
      </c>
      <c r="O9" s="3">
        <f t="shared" si="0"/>
        <v>4668027</v>
      </c>
    </row>
    <row r="10" spans="2:15" x14ac:dyDescent="0.3">
      <c r="E10" s="3">
        <f>D9+E9</f>
        <v>8685472</v>
      </c>
      <c r="G10" s="3">
        <f>F9+G9</f>
        <v>8423949</v>
      </c>
      <c r="I10" s="3">
        <f>H9+I9</f>
        <v>8283939</v>
      </c>
      <c r="K10" s="3">
        <f>J9+K9</f>
        <v>8712481</v>
      </c>
      <c r="M10" s="3">
        <f>L9+M9</f>
        <v>8306843</v>
      </c>
      <c r="O10" s="3">
        <f>N9+O9</f>
        <v>8896525</v>
      </c>
    </row>
    <row r="11" spans="2:15" x14ac:dyDescent="0.3">
      <c r="D11" s="3" t="s">
        <v>35</v>
      </c>
    </row>
    <row r="12" spans="2:15" s="3" customFormat="1" x14ac:dyDescent="0.3">
      <c r="B12" s="1"/>
      <c r="C12" s="4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5" t="s">
        <v>23</v>
      </c>
      <c r="L12" s="5" t="s">
        <v>24</v>
      </c>
      <c r="M12" s="5" t="s">
        <v>25</v>
      </c>
      <c r="N12" s="5" t="s">
        <v>26</v>
      </c>
      <c r="O12" s="5" t="s">
        <v>27</v>
      </c>
    </row>
    <row r="13" spans="2:15" s="3" customFormat="1" x14ac:dyDescent="0.3">
      <c r="B13" s="1"/>
      <c r="C13" s="1" t="s">
        <v>5</v>
      </c>
      <c r="D13" s="3">
        <v>244267</v>
      </c>
      <c r="E13" s="3">
        <v>260047</v>
      </c>
      <c r="F13" s="3">
        <v>269918</v>
      </c>
      <c r="G13" s="3">
        <v>292278</v>
      </c>
      <c r="H13" s="3">
        <v>273869</v>
      </c>
      <c r="I13" s="3">
        <v>288131</v>
      </c>
      <c r="J13" s="3">
        <v>238755</v>
      </c>
      <c r="K13" s="3">
        <v>252276</v>
      </c>
      <c r="L13" s="3">
        <v>272075</v>
      </c>
      <c r="M13" s="3">
        <v>246165</v>
      </c>
      <c r="N13" s="3">
        <v>243576</v>
      </c>
      <c r="O13" s="3">
        <v>273470</v>
      </c>
    </row>
    <row r="14" spans="2:15" s="3" customFormat="1" x14ac:dyDescent="0.3">
      <c r="B14" s="1"/>
      <c r="C14" s="1" t="s">
        <v>7</v>
      </c>
      <c r="D14" s="3">
        <v>276592</v>
      </c>
      <c r="E14" s="3">
        <v>269961</v>
      </c>
      <c r="F14" s="3">
        <v>245674</v>
      </c>
      <c r="G14" s="3">
        <v>239815</v>
      </c>
      <c r="H14" s="3">
        <v>297021</v>
      </c>
      <c r="I14" s="3">
        <v>262472</v>
      </c>
      <c r="J14" s="3">
        <v>289489</v>
      </c>
      <c r="K14" s="3">
        <v>306708</v>
      </c>
      <c r="L14" s="3">
        <v>284569</v>
      </c>
      <c r="M14" s="3">
        <v>270937</v>
      </c>
      <c r="N14" s="3">
        <v>222243</v>
      </c>
      <c r="O14" s="3">
        <v>290643</v>
      </c>
    </row>
    <row r="15" spans="2:15" s="3" customFormat="1" x14ac:dyDescent="0.3">
      <c r="B15" s="1"/>
      <c r="C15" s="1" t="s">
        <v>8</v>
      </c>
      <c r="D15" s="3">
        <v>300244</v>
      </c>
      <c r="E15" s="3">
        <v>273644</v>
      </c>
      <c r="F15" s="3">
        <v>261886</v>
      </c>
      <c r="G15" s="3">
        <v>300571</v>
      </c>
      <c r="H15" s="3">
        <v>285605</v>
      </c>
      <c r="I15" s="3">
        <v>258601</v>
      </c>
      <c r="J15" s="3">
        <v>275721</v>
      </c>
      <c r="K15" s="3">
        <v>245755</v>
      </c>
      <c r="L15" s="3">
        <v>288317</v>
      </c>
      <c r="M15" s="3">
        <v>274630</v>
      </c>
      <c r="N15" s="3">
        <v>227105</v>
      </c>
      <c r="O15" s="3">
        <v>321929</v>
      </c>
    </row>
    <row r="16" spans="2:15" s="3" customFormat="1" x14ac:dyDescent="0.3">
      <c r="B16" s="1"/>
      <c r="C16" s="1" t="s">
        <v>9</v>
      </c>
      <c r="D16" s="3">
        <v>297835</v>
      </c>
      <c r="E16" s="3">
        <v>295860</v>
      </c>
      <c r="F16" s="3">
        <v>291914</v>
      </c>
      <c r="G16" s="3">
        <v>235532</v>
      </c>
      <c r="H16" s="3">
        <v>282796</v>
      </c>
      <c r="I16" s="3">
        <v>314848</v>
      </c>
      <c r="J16" s="3">
        <v>294864</v>
      </c>
      <c r="K16" s="3">
        <v>279920</v>
      </c>
      <c r="L16" s="3">
        <v>299540</v>
      </c>
      <c r="M16" s="3">
        <v>265409</v>
      </c>
      <c r="N16" s="3">
        <v>260479</v>
      </c>
      <c r="O16" s="3">
        <v>304928</v>
      </c>
    </row>
    <row r="17" spans="2:15" s="3" customFormat="1" x14ac:dyDescent="0.3">
      <c r="B17" s="1"/>
      <c r="C17" s="1" t="s">
        <v>11</v>
      </c>
      <c r="D17" s="3">
        <v>272315</v>
      </c>
      <c r="E17" s="3">
        <v>266786</v>
      </c>
      <c r="F17" s="3">
        <v>255399</v>
      </c>
      <c r="G17" s="3">
        <v>262251</v>
      </c>
      <c r="H17" s="3">
        <v>245974</v>
      </c>
      <c r="I17" s="3">
        <v>267859</v>
      </c>
      <c r="J17" s="3">
        <v>301375</v>
      </c>
      <c r="K17" s="3">
        <v>279745</v>
      </c>
      <c r="L17" s="3">
        <v>281798</v>
      </c>
      <c r="M17" s="3">
        <v>280938</v>
      </c>
      <c r="N17" s="3">
        <v>301131</v>
      </c>
      <c r="O17" s="3">
        <v>269945</v>
      </c>
    </row>
    <row r="18" spans="2:15" s="3" customFormat="1" x14ac:dyDescent="0.3">
      <c r="B18" s="1"/>
      <c r="C18" s="1" t="s">
        <v>28</v>
      </c>
      <c r="D18" s="3">
        <f>SUM(D13:D17)</f>
        <v>1391253</v>
      </c>
      <c r="E18" s="3">
        <f t="shared" ref="E18:O18" si="1">SUM(E13:E17)</f>
        <v>1366298</v>
      </c>
      <c r="F18" s="3">
        <f t="shared" si="1"/>
        <v>1324791</v>
      </c>
      <c r="G18" s="3">
        <f t="shared" si="1"/>
        <v>1330447</v>
      </c>
      <c r="H18" s="3">
        <f t="shared" si="1"/>
        <v>1385265</v>
      </c>
      <c r="I18" s="3">
        <f t="shared" si="1"/>
        <v>1391911</v>
      </c>
      <c r="J18" s="3">
        <f t="shared" si="1"/>
        <v>1400204</v>
      </c>
      <c r="K18" s="3">
        <f t="shared" si="1"/>
        <v>1364404</v>
      </c>
      <c r="L18" s="3">
        <f t="shared" si="1"/>
        <v>1426299</v>
      </c>
      <c r="M18" s="3">
        <f t="shared" si="1"/>
        <v>1338079</v>
      </c>
      <c r="N18" s="3">
        <f t="shared" si="1"/>
        <v>1254534</v>
      </c>
      <c r="O18" s="3">
        <f t="shared" si="1"/>
        <v>1460915</v>
      </c>
    </row>
    <row r="20" spans="2:15" s="3" customFormat="1" x14ac:dyDescent="0.3">
      <c r="B20" s="1"/>
      <c r="C20" s="1" t="s">
        <v>29</v>
      </c>
      <c r="D20" s="3">
        <f>D9-D18</f>
        <v>3140190</v>
      </c>
      <c r="E20" s="3">
        <f t="shared" ref="E20:O20" si="2">E9-E18</f>
        <v>2787731</v>
      </c>
      <c r="F20" s="3">
        <f t="shared" si="2"/>
        <v>2837091</v>
      </c>
      <c r="G20" s="3">
        <f t="shared" si="2"/>
        <v>2931620</v>
      </c>
      <c r="H20" s="3">
        <f t="shared" si="2"/>
        <v>2613216</v>
      </c>
      <c r="I20" s="3">
        <f t="shared" si="2"/>
        <v>2893547</v>
      </c>
      <c r="J20" s="3">
        <f t="shared" si="2"/>
        <v>3001701</v>
      </c>
      <c r="K20" s="3">
        <f t="shared" si="2"/>
        <v>2946172</v>
      </c>
      <c r="L20" s="3">
        <f t="shared" si="2"/>
        <v>2681594</v>
      </c>
      <c r="M20" s="3">
        <f t="shared" si="2"/>
        <v>2860871</v>
      </c>
      <c r="N20" s="3">
        <f t="shared" si="2"/>
        <v>2973964</v>
      </c>
      <c r="O20" s="3">
        <f t="shared" si="2"/>
        <v>3207112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DE6D-EF77-4E43-A407-C422DEDF94F7}">
  <dimension ref="B2:W22"/>
  <sheetViews>
    <sheetView workbookViewId="0"/>
  </sheetViews>
  <sheetFormatPr defaultRowHeight="13.5" x14ac:dyDescent="0.3"/>
  <cols>
    <col min="1" max="1" width="6.81640625" style="1" bestFit="1" customWidth="1"/>
    <col min="2" max="2" width="4.36328125" style="1" bestFit="1" customWidth="1"/>
    <col min="3" max="3" width="13.6328125" style="1" bestFit="1" customWidth="1"/>
    <col min="4" max="4" width="13.36328125" style="3" bestFit="1" customWidth="1"/>
    <col min="5" max="6" width="12.26953125" style="3" bestFit="1" customWidth="1"/>
    <col min="7" max="7" width="13.6328125" style="3" bestFit="1" customWidth="1"/>
    <col min="8" max="9" width="12.26953125" style="3" bestFit="1" customWidth="1"/>
    <col min="10" max="12" width="12" style="3" bestFit="1" customWidth="1"/>
    <col min="13" max="13" width="13.36328125" style="3" bestFit="1" customWidth="1"/>
    <col min="14" max="16" width="12" style="3" bestFit="1" customWidth="1"/>
    <col min="17" max="17" width="13.36328125" style="3" bestFit="1" customWidth="1"/>
    <col min="18" max="16384" width="8.7265625" style="1"/>
  </cols>
  <sheetData>
    <row r="2" spans="2:23" s="3" customFormat="1" x14ac:dyDescent="0.3">
      <c r="B2" s="2" t="s">
        <v>37</v>
      </c>
      <c r="C2" s="1"/>
      <c r="R2" s="1"/>
      <c r="S2" s="1"/>
      <c r="T2" s="1"/>
      <c r="U2" s="1"/>
      <c r="V2" s="1"/>
      <c r="W2" s="1"/>
    </row>
    <row r="3" spans="2:23" s="3" customFormat="1" x14ac:dyDescent="0.3">
      <c r="B3" s="1"/>
      <c r="C3" s="1"/>
      <c r="D3" s="3" t="s">
        <v>35</v>
      </c>
      <c r="R3" s="1"/>
      <c r="S3" s="1"/>
      <c r="T3" s="1"/>
      <c r="U3" s="1"/>
      <c r="V3" s="1"/>
      <c r="W3" s="1"/>
    </row>
    <row r="4" spans="2:23" s="3" customFormat="1" x14ac:dyDescent="0.3">
      <c r="B4" s="1"/>
      <c r="C4" s="4" t="s">
        <v>13</v>
      </c>
      <c r="D4" s="5" t="s">
        <v>17</v>
      </c>
      <c r="E4" s="5" t="s">
        <v>19</v>
      </c>
      <c r="F4" s="5" t="s">
        <v>21</v>
      </c>
      <c r="G4" s="5" t="s">
        <v>23</v>
      </c>
      <c r="H4" s="5" t="s">
        <v>25</v>
      </c>
      <c r="I4" s="5" t="s">
        <v>27</v>
      </c>
      <c r="R4" s="1"/>
      <c r="S4" s="1"/>
      <c r="T4" s="1"/>
      <c r="U4" s="1"/>
      <c r="V4" s="1"/>
      <c r="W4" s="1"/>
    </row>
    <row r="5" spans="2:23" s="3" customFormat="1" x14ac:dyDescent="0.3">
      <c r="B5" s="1"/>
      <c r="C5" s="1" t="s">
        <v>0</v>
      </c>
      <c r="D5" s="3">
        <v>6082384</v>
      </c>
      <c r="E5" s="3">
        <v>12368527</v>
      </c>
      <c r="F5" s="3">
        <v>6235380</v>
      </c>
      <c r="G5" s="3">
        <v>12296516</v>
      </c>
      <c r="H5" s="3">
        <v>6527741</v>
      </c>
      <c r="I5" s="3">
        <v>12890940</v>
      </c>
    </row>
    <row r="6" spans="2:23" s="3" customFormat="1" x14ac:dyDescent="0.3">
      <c r="B6" s="1"/>
      <c r="C6" s="1" t="s">
        <v>2</v>
      </c>
      <c r="D6" s="3">
        <v>6236744</v>
      </c>
      <c r="E6" s="3">
        <v>12572149</v>
      </c>
      <c r="F6" s="3">
        <v>6573686</v>
      </c>
      <c r="G6" s="3">
        <v>12768792</v>
      </c>
      <c r="H6" s="3">
        <v>6541431</v>
      </c>
      <c r="I6" s="3">
        <v>12676590</v>
      </c>
    </row>
    <row r="7" spans="2:23" s="3" customFormat="1" x14ac:dyDescent="0.3">
      <c r="B7" s="1"/>
      <c r="C7" s="1" t="s">
        <v>3</v>
      </c>
      <c r="D7" s="3">
        <v>6150398</v>
      </c>
      <c r="E7" s="3">
        <v>12487508</v>
      </c>
      <c r="F7" s="3">
        <v>6682586</v>
      </c>
      <c r="G7" s="3">
        <v>13286389</v>
      </c>
      <c r="H7" s="3">
        <v>6276723</v>
      </c>
      <c r="I7" s="3">
        <v>12651232</v>
      </c>
      <c r="R7" s="1"/>
      <c r="S7" s="1"/>
      <c r="T7" s="1"/>
      <c r="U7" s="1"/>
      <c r="V7" s="1"/>
      <c r="W7" s="1"/>
    </row>
    <row r="8" spans="2:23" s="3" customFormat="1" x14ac:dyDescent="0.3">
      <c r="B8" s="1"/>
      <c r="C8" s="1" t="s">
        <v>4</v>
      </c>
      <c r="D8" s="3">
        <v>6597950</v>
      </c>
      <c r="E8" s="3">
        <v>13076639</v>
      </c>
      <c r="F8" s="3">
        <v>6454387</v>
      </c>
      <c r="G8" s="3">
        <v>12754278</v>
      </c>
      <c r="H8" s="3">
        <v>6125509</v>
      </c>
      <c r="I8" s="3">
        <v>12573952</v>
      </c>
      <c r="R8" s="1"/>
      <c r="S8" s="1"/>
      <c r="T8" s="1"/>
      <c r="U8" s="1"/>
      <c r="V8" s="1"/>
      <c r="W8" s="1"/>
    </row>
    <row r="9" spans="2:23" s="3" customFormat="1" x14ac:dyDescent="0.3">
      <c r="B9" s="1"/>
      <c r="C9" s="1" t="s">
        <v>10</v>
      </c>
      <c r="D9" s="3">
        <v>6587610</v>
      </c>
      <c r="E9" s="3">
        <v>13105382</v>
      </c>
      <c r="F9" s="3">
        <v>6393186</v>
      </c>
      <c r="G9" s="3">
        <v>12646459</v>
      </c>
      <c r="H9" s="3">
        <v>6708342</v>
      </c>
      <c r="I9" s="3">
        <v>13063696</v>
      </c>
      <c r="R9" s="1"/>
      <c r="S9" s="1"/>
      <c r="T9" s="1"/>
      <c r="U9" s="1"/>
      <c r="V9" s="1"/>
      <c r="W9" s="1"/>
    </row>
    <row r="10" spans="2:23" s="3" customFormat="1" x14ac:dyDescent="0.3">
      <c r="B10" s="1"/>
      <c r="C10" s="1" t="s">
        <v>34</v>
      </c>
      <c r="D10" s="3">
        <f>SUM(D5:D9)</f>
        <v>31655086</v>
      </c>
      <c r="E10" s="3">
        <f t="shared" ref="E10:I10" si="0">SUM(E5:E9)</f>
        <v>63610205</v>
      </c>
      <c r="F10" s="3">
        <f t="shared" si="0"/>
        <v>32339225</v>
      </c>
      <c r="G10" s="3">
        <f t="shared" si="0"/>
        <v>63752434</v>
      </c>
      <c r="H10" s="3">
        <f t="shared" si="0"/>
        <v>32179746</v>
      </c>
      <c r="I10" s="3">
        <f t="shared" si="0"/>
        <v>63856410</v>
      </c>
      <c r="R10" s="1"/>
      <c r="S10" s="1"/>
      <c r="T10" s="1"/>
      <c r="U10" s="1"/>
      <c r="V10" s="1"/>
      <c r="W10" s="1"/>
    </row>
    <row r="11" spans="2:23" s="3" customFormat="1" x14ac:dyDescent="0.3">
      <c r="B11" s="1"/>
      <c r="C11" s="1"/>
      <c r="R11" s="1"/>
      <c r="S11" s="1"/>
      <c r="T11" s="1"/>
      <c r="U11" s="1"/>
      <c r="V11" s="1"/>
      <c r="W11" s="1"/>
    </row>
    <row r="13" spans="2:23" s="3" customFormat="1" x14ac:dyDescent="0.3">
      <c r="B13" s="1"/>
      <c r="C13" s="1"/>
      <c r="D13" s="3" t="s">
        <v>35</v>
      </c>
      <c r="R13" s="1"/>
      <c r="S13" s="1"/>
      <c r="T13" s="1"/>
      <c r="U13" s="1"/>
      <c r="V13" s="1"/>
      <c r="W13" s="1"/>
    </row>
    <row r="14" spans="2:23" s="3" customFormat="1" x14ac:dyDescent="0.3">
      <c r="B14" s="1"/>
      <c r="C14" s="4" t="s">
        <v>15</v>
      </c>
      <c r="D14" s="5" t="s">
        <v>17</v>
      </c>
      <c r="E14" s="5" t="s">
        <v>19</v>
      </c>
      <c r="F14" s="5" t="s">
        <v>21</v>
      </c>
      <c r="G14" s="5" t="s">
        <v>23</v>
      </c>
      <c r="H14" s="5" t="s">
        <v>25</v>
      </c>
      <c r="I14" s="5" t="s">
        <v>27</v>
      </c>
    </row>
    <row r="15" spans="2:23" s="3" customFormat="1" x14ac:dyDescent="0.3">
      <c r="B15" s="1"/>
      <c r="C15" s="1" t="s">
        <v>5</v>
      </c>
      <c r="D15" s="3">
        <v>1633146</v>
      </c>
      <c r="E15" s="3">
        <v>3308466</v>
      </c>
      <c r="F15" s="3">
        <v>1615198</v>
      </c>
      <c r="G15" s="3">
        <v>3288718</v>
      </c>
      <c r="H15" s="3">
        <v>1691231</v>
      </c>
      <c r="I15" s="3">
        <v>3340751</v>
      </c>
    </row>
    <row r="16" spans="2:23" s="3" customFormat="1" x14ac:dyDescent="0.3">
      <c r="B16" s="1"/>
      <c r="C16" s="1" t="s">
        <v>7</v>
      </c>
      <c r="D16" s="3">
        <v>1637448</v>
      </c>
      <c r="E16" s="3">
        <v>3366848</v>
      </c>
      <c r="F16" s="3">
        <v>1621324</v>
      </c>
      <c r="G16" s="3">
        <v>3417562</v>
      </c>
      <c r="H16" s="3">
        <v>1707130</v>
      </c>
      <c r="I16" s="3">
        <v>3343081</v>
      </c>
    </row>
    <row r="17" spans="2:9" s="3" customFormat="1" x14ac:dyDescent="0.3">
      <c r="B17" s="1"/>
      <c r="C17" s="1" t="s">
        <v>8</v>
      </c>
      <c r="D17" s="3">
        <v>1596037</v>
      </c>
      <c r="E17" s="3">
        <v>3246585</v>
      </c>
      <c r="F17" s="3">
        <v>1640206</v>
      </c>
      <c r="G17" s="3">
        <v>3350769</v>
      </c>
      <c r="H17" s="3">
        <v>1733898</v>
      </c>
      <c r="I17" s="3">
        <v>3394495</v>
      </c>
    </row>
    <row r="18" spans="2:9" s="3" customFormat="1" x14ac:dyDescent="0.3">
      <c r="B18" s="1"/>
      <c r="C18" s="1" t="s">
        <v>9</v>
      </c>
      <c r="D18" s="3">
        <v>1622945</v>
      </c>
      <c r="E18" s="3">
        <v>3237852</v>
      </c>
      <c r="F18" s="3">
        <v>1670436</v>
      </c>
      <c r="G18" s="3">
        <v>3314760</v>
      </c>
      <c r="H18" s="3">
        <v>1604432</v>
      </c>
      <c r="I18" s="3">
        <v>3246287</v>
      </c>
    </row>
    <row r="19" spans="2:9" x14ac:dyDescent="0.3">
      <c r="C19" s="1" t="s">
        <v>12</v>
      </c>
      <c r="D19" s="3">
        <v>1682875</v>
      </c>
      <c r="E19" s="3">
        <v>3356662</v>
      </c>
      <c r="F19" s="3">
        <v>1605930</v>
      </c>
      <c r="G19" s="3">
        <v>3293919</v>
      </c>
      <c r="H19" s="3">
        <v>1587191</v>
      </c>
      <c r="I19" s="3">
        <v>3234833</v>
      </c>
    </row>
    <row r="20" spans="2:9" s="3" customFormat="1" x14ac:dyDescent="0.3">
      <c r="B20" s="1"/>
      <c r="C20" s="1" t="s">
        <v>28</v>
      </c>
      <c r="D20" s="3">
        <f>SUM(D15:D19)</f>
        <v>8172451</v>
      </c>
      <c r="E20" s="3">
        <f t="shared" ref="E20" si="1">SUM(E15:E19)</f>
        <v>16516413</v>
      </c>
      <c r="F20" s="3">
        <f t="shared" ref="F20" si="2">SUM(F15:F19)</f>
        <v>8153094</v>
      </c>
      <c r="G20" s="3">
        <f t="shared" ref="G20" si="3">SUM(G15:G19)</f>
        <v>16665728</v>
      </c>
      <c r="H20" s="3">
        <f t="shared" ref="H20" si="4">SUM(H15:H19)</f>
        <v>8323882</v>
      </c>
      <c r="I20" s="3">
        <f t="shared" ref="I20" si="5">SUM(I15:I19)</f>
        <v>16559447</v>
      </c>
    </row>
    <row r="22" spans="2:9" x14ac:dyDescent="0.3">
      <c r="C22" s="1" t="s">
        <v>29</v>
      </c>
      <c r="D22" s="3">
        <f t="shared" ref="D22:I22" si="6">D10-D20</f>
        <v>23482635</v>
      </c>
      <c r="E22" s="3">
        <f t="shared" si="6"/>
        <v>47093792</v>
      </c>
      <c r="F22" s="3">
        <f t="shared" si="6"/>
        <v>24186131</v>
      </c>
      <c r="G22" s="3">
        <f t="shared" si="6"/>
        <v>47086706</v>
      </c>
      <c r="H22" s="3">
        <f t="shared" si="6"/>
        <v>23855864</v>
      </c>
      <c r="I22" s="3">
        <f t="shared" si="6"/>
        <v>47296963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ダッシュボード</vt:lpstr>
      <vt:lpstr>Tokyo</vt:lpstr>
      <vt:lpstr>Osaka</vt:lpstr>
      <vt:lpstr>Nagoya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Daisuke Yamada</cp:lastModifiedBy>
  <dcterms:created xsi:type="dcterms:W3CDTF">2025-09-19T09:40:20Z</dcterms:created>
  <dcterms:modified xsi:type="dcterms:W3CDTF">2025-09-20T03:03:14Z</dcterms:modified>
</cp:coreProperties>
</file>